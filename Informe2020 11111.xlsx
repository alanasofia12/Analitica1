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lana\Downloads\"/>
    </mc:Choice>
  </mc:AlternateContent>
  <xr:revisionPtr revIDLastSave="0" documentId="8_{29EE7FEC-5B24-4EB5-A7B5-905F1A7FBC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chart.v1.0" hidden="1">Sheet1!$O$103:$O$113</definedName>
    <definedName name="_xlchart.v1.1" hidden="1">Sheet1!$P$103:$P$113</definedName>
    <definedName name="_xlchart.v1.2" hidden="1">Sheet1!$O$103:$O$113</definedName>
    <definedName name="_xlchart.v1.3" hidden="1">Sheet1!$P$103:$P$113</definedName>
    <definedName name="_xlchart.v1.4" hidden="1">Sheet1!$O$103:$O$113</definedName>
    <definedName name="_xlchart.v1.5" hidden="1">Sheet1!$P$103:$P$113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3" i="1" l="1"/>
  <c r="P113" i="1" s="1"/>
  <c r="O112" i="1"/>
  <c r="O111" i="1"/>
  <c r="P111" i="1" s="1"/>
  <c r="O110" i="1"/>
  <c r="O109" i="1"/>
  <c r="O108" i="1"/>
  <c r="P108" i="1" s="1"/>
  <c r="P104" i="1"/>
  <c r="O104" i="1"/>
  <c r="O107" i="1"/>
  <c r="P107" i="1" s="1"/>
  <c r="O106" i="1"/>
  <c r="P106" i="1" s="1"/>
  <c r="O105" i="1"/>
  <c r="P110" i="1"/>
  <c r="P112" i="1"/>
  <c r="P109" i="1"/>
  <c r="P105" i="1"/>
  <c r="P103" i="1"/>
</calcChain>
</file>

<file path=xl/sharedStrings.xml><?xml version="1.0" encoding="utf-8"?>
<sst xmlns="http://schemas.openxmlformats.org/spreadsheetml/2006/main" count="273" uniqueCount="128">
  <si>
    <t>oracion</t>
  </si>
  <si>
    <t>polaridad</t>
  </si>
  <si>
    <t>sentimiento</t>
  </si>
  <si>
    <t>Detailed Report on Colombia's Foreign Trade in 2021
1.</t>
  </si>
  <si>
    <t>Neutral</t>
  </si>
  <si>
    <t>Introduction
2021 was a year of transition for the global economy and for Colombia.</t>
  </si>
  <si>
    <t>Although the COVID-19 pandemic continued to be a challenge, vaccination measures and the easing of restrictions allowed for a gradual reactivation of economic activity.</t>
  </si>
  <si>
    <t>Optimismo</t>
  </si>
  <si>
    <t xml:space="preserve">In this context, Colombian foreign trade presented a series of particularities that are worth analyzing in depth.
</t>
  </si>
  <si>
    <t>Favorable</t>
  </si>
  <si>
    <t>2.</t>
  </si>
  <si>
    <t>The Residual Impact of the COVID-19 Pandemic and Economic Recovery
Although the Colombian economy began to recover in 2021, the effects of the pandemic persisted.</t>
  </si>
  <si>
    <t xml:space="preserve">Uncertainty, supply chain disruptions, and weak global demand continued to be factors influencing the performance of foreign trade.
</t>
  </si>
  <si>
    <t>Pesimismo</t>
  </si>
  <si>
    <t xml:space="preserve">However, as the year progressed, a gradual recovery in exports and imports was observed, driven by:
Increased global demand:** Mass vaccination in several countries and the implementation of expansionary fiscal and monetary policies contributed to a gradual recovery in global demand.
</t>
  </si>
  <si>
    <t>Economic opening:**</t>
  </si>
  <si>
    <t xml:space="preserve">The easing of restrictions and the reopening of key sectors of the economy boosted domestic and external economic activity.
</t>
  </si>
  <si>
    <t>Convicción</t>
  </si>
  <si>
    <t xml:space="preserve">Business adaptation:** Colombian companies adapted to the new reality, implementing new technologies and business models to address the challenges posed by the pandemic.
</t>
  </si>
  <si>
    <t xml:space="preserve">3. Key Trends in Colombian Foreign Trade in 2021
Export recovery:** Colombian exports showed a gradual recovery throughout the year, driven by the recovery in raw material prices and higher demand for some products.
</t>
  </si>
  <si>
    <t>Indiferente</t>
  </si>
  <si>
    <t>Import growth:**</t>
  </si>
  <si>
    <t xml:space="preserve">Imports also recovered, reflecting the reactivation of domestic economic activity and increased demand for capital and consumer goods.
</t>
  </si>
  <si>
    <t>Diversification of the export basket:**</t>
  </si>
  <si>
    <t xml:space="preserve">Greater diversification of the Colombian export basket was observed, with growth in exports of non-traditional products such as processed foods and manufactured goods.
</t>
  </si>
  <si>
    <t xml:space="preserve">Strengthening of e-commerce:** E-commerce continued to consolidate itself as an important sales channel for Colombian companies, driven by increasing internet penetration and the use of mobile devices.
</t>
  </si>
  <si>
    <t>Greater importance of trade agreements:**</t>
  </si>
  <si>
    <t>Consolidación</t>
  </si>
  <si>
    <t xml:space="preserve">The trade agreements signed by Colombia, such as the Free Trade Agreement with the United States, played an important role in the recovery of foreign trade.
</t>
  </si>
  <si>
    <t>Confianza</t>
  </si>
  <si>
    <t>4.</t>
  </si>
  <si>
    <t>Sector Analysis
Mining and energy sector:**</t>
  </si>
  <si>
    <t xml:space="preserve">This sector benefited from the recovery in oil prices and increased global energy demand.
</t>
  </si>
  <si>
    <t>Agroindustrial sector:**</t>
  </si>
  <si>
    <t xml:space="preserve">The agroindustrial sector continued to perform well, thanks to global demand for food and the diversification of the export supply.
</t>
  </si>
  <si>
    <t>Manufacturing Sector:**</t>
  </si>
  <si>
    <t xml:space="preserve">The manufacturing sector experienced a gradual recovery, driven by increased domestic and external demand.
</t>
  </si>
  <si>
    <t>5. Challenges and Opportunities for the Future
Despite the recovery observed in 2021, Colombian foreign trade still faces significant challenges:
Economic Uncertainty:**</t>
  </si>
  <si>
    <t xml:space="preserve">The persistence of the pandemic and the emergence of new virus variants are generating uncertainty in the markets.
</t>
  </si>
  <si>
    <t>Escepticismo</t>
  </si>
  <si>
    <t xml:space="preserve">Supply Chain Disruptions:** Disruptions in global supply chains continue to be a challenge for Colombian companies.
</t>
  </si>
  <si>
    <t>Inestabilidad</t>
  </si>
  <si>
    <t>Competitiveness:**</t>
  </si>
  <si>
    <t xml:space="preserve">The competitiveness of Colombian exports must improve to face competition from other countries.
</t>
  </si>
  <si>
    <t>6.</t>
  </si>
  <si>
    <t>Opportunities:
Digital Economy:**</t>
  </si>
  <si>
    <t xml:space="preserve">The acceleration of digitalization offers new opportunities for e-commerce and innovation.
</t>
  </si>
  <si>
    <t>Renewable Energy:**</t>
  </si>
  <si>
    <t xml:space="preserve">The transition to a more sustainable economy represents an opportunity for the development of renewable energy.
</t>
  </si>
  <si>
    <t xml:space="preserve">Trade agreements: Existing and future trade agreements can boost Colombian exports and attract foreign investment.
</t>
  </si>
  <si>
    <t>7. Conclusions
2021 was a year of recovery for Colombian foreign trade, but significant challenges remain.</t>
  </si>
  <si>
    <t>To consolidate this recovery and take advantage of the opportunities that arise, it is necessary to implement public policies that promote economic diversification, innovation, and the competitiveness of Colombian companies.</t>
  </si>
  <si>
    <t>Detailed Report on Colombia's Foreign Trade in 2022
1.</t>
  </si>
  <si>
    <t>Introduction
The year 2022 marked an important milestone in Colombia's economic recovery following the impacts of the COVID-19 pandemic.</t>
  </si>
  <si>
    <t>Foreign trade, as an engine of growth, played a fundamental role in this recovery.</t>
  </si>
  <si>
    <t xml:space="preserve">However, the international context, characterized by high inflation, geopolitical conflicts, and supply chain disruptions, presented new challenges for the Colombian export sector.
</t>
  </si>
  <si>
    <t xml:space="preserve">The Global Scenario and its Impact on Colombia
The international environment in 2022 was characterized by:
High inflation: Global inflation, driven by factors such as supply chain disruptions and expansionary monetary policies, impacted production costs and the prices of imported products.
</t>
  </si>
  <si>
    <t>Geopolitical uncertainty: Geopolitical conflicts, such as the war in Ukraine, generated volatility in the energy and raw materials markets, affecting the prices and availability of certain products.</t>
  </si>
  <si>
    <t xml:space="preserve">Supply chain disruptions: Although an improvement was observed compared to 2021, supply chain disruptions continued to be a challenge for international trade.
</t>
  </si>
  <si>
    <t xml:space="preserve">These external factors influenced the performance of Colombian foreign trade, creating both opportunities and challenges.
</t>
  </si>
  <si>
    <t xml:space="preserve">3. Key Trends in Colombian Foreign Trade in 2022
Sustained Recovery: Colombian foreign trade continued its recovery process, with growth in both exports and imports.
</t>
  </si>
  <si>
    <t xml:space="preserve">Export diversification: Greater diversification was observed, with growth in exports of non-traditional products such as processed foods, chemicals, and pharmaceuticals.
</t>
  </si>
  <si>
    <t xml:space="preserve">Strengthening e-commerce: E-commerce continued to consolidate itself as an important sales channel for Colombian companies, driven by increasing internet penetration and the use of mobile devices.
</t>
  </si>
  <si>
    <t xml:space="preserve">Greater importance of trade agreements: The trade agreements signed by Colombia, such as the Free Trade Agreement with the United States, played an important role in the recovery of foreign trade.
</t>
  </si>
  <si>
    <t xml:space="preserve">Impact of inflation: Global inflation impacted production costs and the prices of imported products, putting pressure on the competitiveness of Colombian exports.
</t>
  </si>
  <si>
    <t>Sector Analysis
Mining and energy sector: This sector benefited from the recovery in commodity prices, especially oil and coal.</t>
  </si>
  <si>
    <t xml:space="preserve">However, price volatility and environmental concerns posed challenges.
</t>
  </si>
  <si>
    <t xml:space="preserve">Agroindustrial sector: The agroindustrial sector continued to perform well, thanks to global demand for food and the diversification of export supply.
</t>
  </si>
  <si>
    <t xml:space="preserve">Manufacturing sector: The manufacturing sector experienced a gradual recovery, driven by increased domestic and external demand, although it faced challenges related to input shortages and rising production costs.
</t>
  </si>
  <si>
    <t xml:space="preserve">5. Challenges and Opportunities for the Future
Despite the recovery observed in 2022, Colombian foreign trade still faces significant challenges:
Economic uncertainty: The persistence of global inflation and geopolitical uncertainty create challenges for long-term planning.
</t>
  </si>
  <si>
    <t xml:space="preserve">Supply chain disruptions: Disruptions in global supply chains continue to be a challenge for Colombian companies.
</t>
  </si>
  <si>
    <t>Competitiveness: The competitiveness of Colombian exports must improve to face competition from other countries.
6.</t>
  </si>
  <si>
    <t xml:space="preserve">Opportunities:
Digital economy: The acceleration of digitalization offers new opportunities for e-commerce and innovation.
</t>
  </si>
  <si>
    <t xml:space="preserve">Renewable energy: The transition to a more sustainable economy represents an opportunity for the development of renewable energy.
</t>
  </si>
  <si>
    <t>7. Conclusions
2022 was a year of recovery for Colombian foreign trade, but also one of challenges.</t>
  </si>
  <si>
    <t>The war in Ukraine, inflation, and supply chain disruptions were factors that impacted the sector's performance.</t>
  </si>
  <si>
    <t>Detailed Report on Colombia's Foreign Trade in 2023
1.</t>
  </si>
  <si>
    <t>Introduction
The year 2023 marked a turning point in Colombia's economic recovery following the ravages of the COVID-19 pandemic.</t>
  </si>
  <si>
    <t>However, the international context, characterized by high inflation, geopolitical conflicts, and supply chain disruptions, presented new challenges for the Colombian export sector.</t>
  </si>
  <si>
    <t xml:space="preserve">In this report, we will analyze in-depth the performance of Colombian foreign trade this year, identifying the main trends, challenges, and opportunities.
</t>
  </si>
  <si>
    <t xml:space="preserve">The Global Scenario and its Impact on Colombia
The international environment in 2023 was characterized by:
High inflation: Global inflation, driven by factors such as supply chain disruptions and expansionary monetary policies, impacted production costs and the prices of imported products.
</t>
  </si>
  <si>
    <t xml:space="preserve">Geopolitical uncertainty: Geopolitical conflicts, such as the war in Ukraine, generated volatility in the energy and raw materials markets, affecting the prices and availability of certain products.
</t>
  </si>
  <si>
    <t xml:space="preserve">Supply chain disruptions: Although an improvement was observed compared to previous years, supply chain disruptions continued to be a challenge for international trade.
</t>
  </si>
  <si>
    <t xml:space="preserve">3. Key Trends in Colombian Foreign Trade in 2023
Sustained recovery: Colombian foreign trade continued its recovery process, with growth in both exports and imports.
</t>
  </si>
  <si>
    <t xml:space="preserve">Export diversification: Greater diversification of the export basket was observed, with growth in exports of non-traditional products such as processed foods, chemicals, and pharmaceuticals.
</t>
  </si>
  <si>
    <t xml:space="preserve">Strengthening e-commerce: E-commerce continued to consolidate its position as an important sales channel for Colombian companies, driven by growing internet penetration and the use of mobile devices.
</t>
  </si>
  <si>
    <t xml:space="preserve">Greater importance of trade agreements: Trade agreements signed by Colombia, such as the Free Trade Agreement with the United States, played an important role in the recovery of foreign trade.
</t>
  </si>
  <si>
    <t xml:space="preserve">Manufacturing Sector: The manufacturing sector experienced a gradual recovery, driven by increased domestic and external demand, although it faced challenges related to input shortages and rising production costs.
</t>
  </si>
  <si>
    <t xml:space="preserve">5. Challenges and Opportunities for the Future
Despite the recovery observed in 2023, Colombian foreign trade still faces significant challenges:
Economic Uncertainty: The persistence of global inflation and geopolitical uncertainty pose challenges for long-term planning.
</t>
  </si>
  <si>
    <t xml:space="preserve">Supply Chain Disruptions: Disruptions in global supply chains continued to be a challenge for Colombian companies.
</t>
  </si>
  <si>
    <t xml:space="preserve">Opportunities:
Digital Economy: The acceleration of digitalization offers new opportunities for e-commerce and innovation.
</t>
  </si>
  <si>
    <t xml:space="preserve">Renewable Energy: The transition to a more sustainable economy represents an opportunity for the development of renewable energy.
</t>
  </si>
  <si>
    <t>7. Conclusions
2023 was a year of recovery for Colombian foreign trade, but also one of challenges.</t>
  </si>
  <si>
    <t>Detailed Report on Colombia's Foreign Trade in 2020
1.</t>
  </si>
  <si>
    <t>Introduction
2020 represented a turning point for the global economy, and Colombia was no exception.</t>
  </si>
  <si>
    <t>The outbreak of the COVID-19 pandemic generated an unprecedented health crisis that drastically impacted supply chains, international trade relations, and domestic demand.</t>
  </si>
  <si>
    <t xml:space="preserve">In this context, Colombian foreign trade presented a series of specific characteristics that are worth analyzing in depth.
</t>
  </si>
  <si>
    <t>The Impact of the COVID-19 Pandemic on Colombian Foreign Trade
The COVID-19 pandemic had a devastating effect on the Colombian economy, causing an economic contraction unprecedented since the Great Depression.</t>
  </si>
  <si>
    <t xml:space="preserve">The lockdown and social distancing measures implemented by the government to contain the spread of the virus paralyzed economic activity and generated a sharp drop in demand.
</t>
  </si>
  <si>
    <t>Main consequences of the pandemic on Colombian foreign trade:
Decrease in global trade:</t>
  </si>
  <si>
    <t xml:space="preserve">Restrictions on the movement of people and goods, as well as border closures, caused a significant contraction in global trade, directly affecting Colombian exports and imports.
</t>
  </si>
  <si>
    <t xml:space="preserve">Disruption of supply chains: The pandemic exposed the fragility of global supply chains, generating product shortages in some sectors and increasing production costs for Colombian companies.
</t>
  </si>
  <si>
    <t xml:space="preserve">Increased uncertainty: The heightened uncertainty generated by the pandemic discouraged investment and consumption, affecting demand for imported products and Colombian exports.
</t>
  </si>
  <si>
    <t xml:space="preserve">Acceleration of e-commerce: The pandemic boosted the growth of e-commerce in Colombia, as consumers turned to online shopping to purchase goods and services, creating new opportunities for Colombian companies.
</t>
  </si>
  <si>
    <t xml:space="preserve">3. Key Trends in Colombian Foreign Trade in 2020
Declining Exports: Colombian exports contracted due to falling commodity prices, especially oil, and lower external demand, primarily in sectors such as the automotive and manufacturing sectors.
</t>
  </si>
  <si>
    <t xml:space="preserve">Decreasing Imports: Imports also declined, reflecting lower economic activity and falling investment.
</t>
  </si>
  <si>
    <t xml:space="preserve">Greater Dependence on Some Markets: Colombia remained dependent on the United States and the European Union as its main export destinations.
</t>
  </si>
  <si>
    <t xml:space="preserve">Strengthening E-Commerce: As globally, e-commerce experienced significant growth in Colombia, generating new opportunities for Colombian companies.
</t>
  </si>
  <si>
    <t>Agro-industrial Sector as a Growth Driver</t>
  </si>
  <si>
    <t xml:space="preserve">: The agro-industrial sector showed greater resilience, with some products such as coffee and Hass avocado registering growth in their exports.
</t>
  </si>
  <si>
    <t xml:space="preserve">Sector Analysis
Mining and Energy Sector: This sector, traditionally one of the pillars of Colombian exports, suffered a severe impact due to the drop in oil prices and lower global energy demand.
</t>
  </si>
  <si>
    <t>Manufacturing Sector: The manufacturing sector was affected by lower domestic and external demand, especially in sectors such as automotive and textiles.</t>
  </si>
  <si>
    <t xml:space="preserve">However, some subsectors, such as pharmaceuticals and medical devices, experienced growth due to increased demand associated with the pandemic.
</t>
  </si>
  <si>
    <t>Agroindustrial Sector:</t>
  </si>
  <si>
    <t xml:space="preserve">Despite the adverse context, the agroindustrial sector showed greater resilience, with some products such as coffee and Hass avocado registering growth in their exports.
</t>
  </si>
  <si>
    <t>5. Challenges and Opportunities for the Future
The COVID-19 pandemic has highlighted the need to diversify economies, strengthen supply chains, and promote innovation.</t>
  </si>
  <si>
    <t xml:space="preserve">For Colombia, the main challenges include:
Recovery of global demand: The recovery of the global economy will be essential to boosting the growth of Colombian foreign trade.
</t>
  </si>
  <si>
    <t xml:space="preserve">Adaptation to new technologies: The digitalization of trade and the adoption of new technologies will be key to improving the competitiveness of Colombian companies.
</t>
  </si>
  <si>
    <t xml:space="preserve">Strengthening institutions: Building strong and transparent institutions is essential to attracting foreign investment and fostering private sector development.
</t>
  </si>
  <si>
    <t xml:space="preserve">Opportunities:
Development of new markets: The crisis has generated new opportunities to explore new markets and diversify exports.
</t>
  </si>
  <si>
    <t xml:space="preserve">Promotion of local production: The pandemic has highlighted the importance of local production and food security.
</t>
  </si>
  <si>
    <t xml:space="preserve">Strengthening regional cooperation: Regional cooperation can help countries address common challenges and seize opportunities.
</t>
  </si>
  <si>
    <t xml:space="preserve">Joint activities.
</t>
  </si>
  <si>
    <t>7. Conclusions
2020 was a year of great challenges for Colombian foreign trade.</t>
  </si>
  <si>
    <t>However, it also represented an opportunity to rethink the economic development model and strengthen the economy's resilience.</t>
  </si>
  <si>
    <t>The recovery of the global economy and the implementation of appropriate public policies will be essential to seize the opportunities that arise in the coming years.</t>
  </si>
  <si>
    <t>Amenaza</t>
  </si>
  <si>
    <t>Como podemos analizar el sentimiento que mas se utiliza es el de neutral como se muestra en las graficas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</si>
</sst>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Grafica</a:t>
            </a:r>
            <a:r>
              <a:rPr lang="es-CO" baseline="0"/>
              <a:t> 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Sheet1!$O$103:$O$113</c:f>
              <c:strCache>
                <c:ptCount val="11"/>
                <c:pt idx="0">
                  <c:v>Amenaza</c:v>
                </c:pt>
                <c:pt idx="1">
                  <c:v>Pesimismo</c:v>
                </c:pt>
                <c:pt idx="2">
                  <c:v>Inestabilidad</c:v>
                </c:pt>
                <c:pt idx="3">
                  <c:v>Escepticismo</c:v>
                </c:pt>
                <c:pt idx="4">
                  <c:v>Indiferente</c:v>
                </c:pt>
                <c:pt idx="5">
                  <c:v>Neutral</c:v>
                </c:pt>
                <c:pt idx="6">
                  <c:v>Favorable</c:v>
                </c:pt>
                <c:pt idx="7">
                  <c:v>Optimismo</c:v>
                </c:pt>
                <c:pt idx="8">
                  <c:v>Convicción</c:v>
                </c:pt>
                <c:pt idx="9">
                  <c:v>Consolidación</c:v>
                </c:pt>
                <c:pt idx="10">
                  <c:v>Confianza</c:v>
                </c:pt>
              </c:strCache>
            </c:strRef>
          </c:cat>
          <c:val>
            <c:numRef>
              <c:f>Sheet1!$P$103:$P$113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12</c:v>
                </c:pt>
                <c:pt idx="3">
                  <c:v>5</c:v>
                </c:pt>
                <c:pt idx="4">
                  <c:v>6</c:v>
                </c:pt>
                <c:pt idx="5">
                  <c:v>32</c:v>
                </c:pt>
                <c:pt idx="6">
                  <c:v>12</c:v>
                </c:pt>
                <c:pt idx="7">
                  <c:v>19</c:v>
                </c:pt>
                <c:pt idx="8">
                  <c:v>21</c:v>
                </c:pt>
                <c:pt idx="9">
                  <c:v>19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62-4B76-8D4E-6E56A1FEC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5447008"/>
        <c:axId val="1665428288"/>
      </c:radarChart>
      <c:catAx>
        <c:axId val="166544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65428288"/>
        <c:crosses val="autoZero"/>
        <c:auto val="1"/>
        <c:lblAlgn val="ctr"/>
        <c:lblOffset val="100"/>
        <c:noMultiLvlLbl val="0"/>
      </c:catAx>
      <c:valAx>
        <c:axId val="166542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6544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plotArea>
      <cx:plotAreaRegion>
        <cx:series layoutId="clusteredColumn" uniqueId="{C50FEF2B-CE87-4C4F-B4A1-0FA7F83B1FCF}">
          <cx:dataId val="0"/>
          <cx:layoutPr>
            <cx:aggregation/>
          </cx:layoutPr>
          <cx:axisId val="1"/>
        </cx:series>
        <cx:series layoutId="paretoLine" ownerIdx="0" uniqueId="{0AC68D60-D3B5-4CB4-A199-92BDD3BC763E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96</xdr:row>
      <xdr:rowOff>185737</xdr:rowOff>
    </xdr:from>
    <xdr:to>
      <xdr:col>11</xdr:col>
      <xdr:colOff>390525</xdr:colOff>
      <xdr:row>111</xdr:row>
      <xdr:rowOff>71437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C65AE50-8AD5-EF64-E06B-11135FEC02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552450</xdr:colOff>
      <xdr:row>114</xdr:row>
      <xdr:rowOff>33337</xdr:rowOff>
    </xdr:from>
    <xdr:to>
      <xdr:col>11</xdr:col>
      <xdr:colOff>161925</xdr:colOff>
      <xdr:row>125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0BA8B256-4F11-96F1-134A-10A6F0EB01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76725" y="21750337"/>
              <a:ext cx="4057650" cy="20621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8"/>
  <sheetViews>
    <sheetView tabSelected="1" topLeftCell="A107" workbookViewId="0">
      <selection activeCell="Q121" sqref="Q121"/>
    </sheetView>
  </sheetViews>
  <sheetFormatPr baseColWidth="10" defaultColWidth="9.140625" defaultRowHeight="15" x14ac:dyDescent="0.25"/>
  <cols>
    <col min="3" max="3" width="15.28515625" customWidth="1"/>
    <col min="4" max="4" width="22.28515625" customWidth="1"/>
    <col min="10" max="10" width="11.85546875" bestFit="1" customWidth="1"/>
    <col min="12" max="12" width="13" customWidth="1"/>
    <col min="15" max="15" width="12.7109375" customWidth="1"/>
  </cols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 t="s">
        <v>93</v>
      </c>
      <c r="C2">
        <v>0</v>
      </c>
      <c r="D2" t="s">
        <v>4</v>
      </c>
    </row>
    <row r="3" spans="1:4" x14ac:dyDescent="0.25">
      <c r="A3" s="1">
        <v>1</v>
      </c>
      <c r="B3" t="s">
        <v>94</v>
      </c>
      <c r="C3">
        <v>-0.29599999999999999</v>
      </c>
      <c r="D3" t="s">
        <v>20</v>
      </c>
    </row>
    <row r="4" spans="1:4" x14ac:dyDescent="0.25">
      <c r="A4" s="1">
        <v>2</v>
      </c>
      <c r="B4" t="s">
        <v>95</v>
      </c>
      <c r="C4">
        <v>-0.68079999999999996</v>
      </c>
      <c r="D4" t="s">
        <v>41</v>
      </c>
    </row>
    <row r="5" spans="1:4" x14ac:dyDescent="0.25">
      <c r="A5" s="1">
        <v>3</v>
      </c>
      <c r="B5" t="s">
        <v>96</v>
      </c>
      <c r="C5">
        <v>0.2263</v>
      </c>
      <c r="D5" t="s">
        <v>9</v>
      </c>
    </row>
    <row r="6" spans="1:4" x14ac:dyDescent="0.25">
      <c r="A6" s="1">
        <v>4</v>
      </c>
      <c r="B6" t="s">
        <v>10</v>
      </c>
      <c r="C6">
        <v>0</v>
      </c>
      <c r="D6" t="s">
        <v>4</v>
      </c>
    </row>
    <row r="7" spans="1:4" x14ac:dyDescent="0.25">
      <c r="A7" s="1">
        <v>5</v>
      </c>
      <c r="B7" t="s">
        <v>97</v>
      </c>
      <c r="C7">
        <v>-0.59940000000000004</v>
      </c>
      <c r="D7" t="s">
        <v>41</v>
      </c>
    </row>
    <row r="8" spans="1:4" x14ac:dyDescent="0.25">
      <c r="A8" s="1">
        <v>6</v>
      </c>
      <c r="B8" t="s">
        <v>98</v>
      </c>
      <c r="C8">
        <v>-0.38179999999999997</v>
      </c>
      <c r="D8" t="s">
        <v>39</v>
      </c>
    </row>
    <row r="9" spans="1:4" x14ac:dyDescent="0.25">
      <c r="A9" s="1">
        <v>7</v>
      </c>
      <c r="B9" t="s">
        <v>99</v>
      </c>
      <c r="C9">
        <v>0</v>
      </c>
      <c r="D9" t="s">
        <v>4</v>
      </c>
    </row>
    <row r="10" spans="1:4" x14ac:dyDescent="0.25">
      <c r="A10" s="1">
        <v>8</v>
      </c>
      <c r="B10" t="s">
        <v>100</v>
      </c>
      <c r="C10">
        <v>0.44040000000000001</v>
      </c>
      <c r="D10" t="s">
        <v>7</v>
      </c>
    </row>
    <row r="11" spans="1:4" x14ac:dyDescent="0.25">
      <c r="A11" s="1">
        <v>9</v>
      </c>
      <c r="B11" t="s">
        <v>101</v>
      </c>
      <c r="C11">
        <v>-0.52669999999999995</v>
      </c>
      <c r="D11" t="s">
        <v>41</v>
      </c>
    </row>
    <row r="12" spans="1:4" x14ac:dyDescent="0.25">
      <c r="A12" s="1">
        <v>10</v>
      </c>
      <c r="B12" t="s">
        <v>102</v>
      </c>
      <c r="C12">
        <v>-0.70960000000000001</v>
      </c>
      <c r="D12" t="s">
        <v>13</v>
      </c>
    </row>
    <row r="13" spans="1:4" x14ac:dyDescent="0.25">
      <c r="A13" s="1">
        <v>11</v>
      </c>
      <c r="B13" t="s">
        <v>103</v>
      </c>
      <c r="C13">
        <v>0.83599999999999997</v>
      </c>
      <c r="D13" t="s">
        <v>27</v>
      </c>
    </row>
    <row r="14" spans="1:4" x14ac:dyDescent="0.25">
      <c r="A14" s="1">
        <v>12</v>
      </c>
      <c r="B14" t="s">
        <v>104</v>
      </c>
      <c r="C14">
        <v>-0.55200000000000005</v>
      </c>
      <c r="D14" t="s">
        <v>41</v>
      </c>
    </row>
    <row r="15" spans="1:4" x14ac:dyDescent="0.25">
      <c r="A15" s="1">
        <v>13</v>
      </c>
      <c r="B15" t="s">
        <v>105</v>
      </c>
      <c r="C15">
        <v>-0.42149999999999999</v>
      </c>
      <c r="D15" t="s">
        <v>39</v>
      </c>
    </row>
    <row r="16" spans="1:4" x14ac:dyDescent="0.25">
      <c r="A16" s="1">
        <v>14</v>
      </c>
      <c r="B16" t="s">
        <v>106</v>
      </c>
      <c r="C16">
        <v>0.64859999999999995</v>
      </c>
      <c r="D16" t="s">
        <v>17</v>
      </c>
    </row>
    <row r="17" spans="1:4" x14ac:dyDescent="0.25">
      <c r="A17" s="1">
        <v>15</v>
      </c>
      <c r="B17" t="s">
        <v>107</v>
      </c>
      <c r="C17">
        <v>0.84809999999999997</v>
      </c>
      <c r="D17" t="s">
        <v>27</v>
      </c>
    </row>
    <row r="18" spans="1:4" x14ac:dyDescent="0.25">
      <c r="A18" s="1">
        <v>16</v>
      </c>
      <c r="B18" t="s">
        <v>108</v>
      </c>
      <c r="C18">
        <v>0.38179999999999997</v>
      </c>
      <c r="D18" t="s">
        <v>7</v>
      </c>
    </row>
    <row r="19" spans="1:4" x14ac:dyDescent="0.25">
      <c r="A19" s="1">
        <v>17</v>
      </c>
      <c r="B19" t="s">
        <v>109</v>
      </c>
      <c r="C19">
        <v>0.62490000000000001</v>
      </c>
      <c r="D19" t="s">
        <v>17</v>
      </c>
    </row>
    <row r="20" spans="1:4" x14ac:dyDescent="0.25">
      <c r="A20" s="1">
        <v>18</v>
      </c>
      <c r="B20" t="s">
        <v>30</v>
      </c>
      <c r="C20">
        <v>0</v>
      </c>
      <c r="D20" t="s">
        <v>4</v>
      </c>
    </row>
    <row r="21" spans="1:4" x14ac:dyDescent="0.25">
      <c r="A21" s="1">
        <v>19</v>
      </c>
      <c r="B21" t="s">
        <v>110</v>
      </c>
      <c r="C21">
        <v>-0.75060000000000004</v>
      </c>
      <c r="D21" t="s">
        <v>13</v>
      </c>
    </row>
    <row r="22" spans="1:4" x14ac:dyDescent="0.25">
      <c r="A22" s="1">
        <v>20</v>
      </c>
      <c r="B22" t="s">
        <v>111</v>
      </c>
      <c r="C22">
        <v>-0.51060000000000005</v>
      </c>
      <c r="D22" t="s">
        <v>41</v>
      </c>
    </row>
    <row r="23" spans="1:4" x14ac:dyDescent="0.25">
      <c r="A23" s="1">
        <v>21</v>
      </c>
      <c r="B23" t="s">
        <v>112</v>
      </c>
      <c r="C23">
        <v>0.49390000000000001</v>
      </c>
      <c r="D23" t="s">
        <v>7</v>
      </c>
    </row>
    <row r="24" spans="1:4" x14ac:dyDescent="0.25">
      <c r="A24" s="1">
        <v>22</v>
      </c>
      <c r="B24" t="s">
        <v>113</v>
      </c>
      <c r="C24">
        <v>0</v>
      </c>
      <c r="D24" t="s">
        <v>4</v>
      </c>
    </row>
    <row r="25" spans="1:4" x14ac:dyDescent="0.25">
      <c r="A25" s="1">
        <v>23</v>
      </c>
      <c r="B25" t="s">
        <v>114</v>
      </c>
      <c r="C25">
        <v>0.7359</v>
      </c>
      <c r="D25" t="s">
        <v>27</v>
      </c>
    </row>
    <row r="26" spans="1:4" x14ac:dyDescent="0.25">
      <c r="A26" s="1">
        <v>24</v>
      </c>
      <c r="B26" t="s">
        <v>115</v>
      </c>
      <c r="C26">
        <v>0.85550000000000004</v>
      </c>
      <c r="D26" t="s">
        <v>27</v>
      </c>
    </row>
    <row r="27" spans="1:4" x14ac:dyDescent="0.25">
      <c r="A27" s="1">
        <v>25</v>
      </c>
      <c r="B27" t="s">
        <v>116</v>
      </c>
      <c r="C27">
        <v>0.58589999999999998</v>
      </c>
      <c r="D27" t="s">
        <v>17</v>
      </c>
    </row>
    <row r="28" spans="1:4" x14ac:dyDescent="0.25">
      <c r="A28" s="1">
        <v>26</v>
      </c>
      <c r="B28" t="s">
        <v>117</v>
      </c>
      <c r="C28">
        <v>0.42149999999999999</v>
      </c>
      <c r="D28" t="s">
        <v>7</v>
      </c>
    </row>
    <row r="29" spans="1:4" x14ac:dyDescent="0.25">
      <c r="A29" s="1">
        <v>27</v>
      </c>
      <c r="B29" t="s">
        <v>118</v>
      </c>
      <c r="C29">
        <v>0.86250000000000004</v>
      </c>
      <c r="D29" t="s">
        <v>27</v>
      </c>
    </row>
    <row r="30" spans="1:4" x14ac:dyDescent="0.25">
      <c r="A30" s="1">
        <v>28</v>
      </c>
      <c r="B30" t="s">
        <v>44</v>
      </c>
      <c r="C30">
        <v>0</v>
      </c>
      <c r="D30" t="s">
        <v>4</v>
      </c>
    </row>
    <row r="31" spans="1:4" x14ac:dyDescent="0.25">
      <c r="A31" s="1">
        <v>29</v>
      </c>
      <c r="B31" t="s">
        <v>119</v>
      </c>
      <c r="C31">
        <v>2.58E-2</v>
      </c>
      <c r="D31" t="s">
        <v>4</v>
      </c>
    </row>
    <row r="32" spans="1:4" x14ac:dyDescent="0.25">
      <c r="A32" s="1">
        <v>30</v>
      </c>
      <c r="B32" t="s">
        <v>120</v>
      </c>
      <c r="C32">
        <v>0.59940000000000004</v>
      </c>
      <c r="D32" t="s">
        <v>17</v>
      </c>
    </row>
    <row r="33" spans="1:4" x14ac:dyDescent="0.25">
      <c r="A33" s="1">
        <v>31</v>
      </c>
      <c r="B33" t="s">
        <v>121</v>
      </c>
      <c r="C33">
        <v>0.83160000000000001</v>
      </c>
      <c r="D33" t="s">
        <v>27</v>
      </c>
    </row>
    <row r="34" spans="1:4" x14ac:dyDescent="0.25">
      <c r="A34" s="1">
        <v>32</v>
      </c>
      <c r="B34" t="s">
        <v>122</v>
      </c>
      <c r="C34">
        <v>0</v>
      </c>
      <c r="D34" t="s">
        <v>4</v>
      </c>
    </row>
    <row r="35" spans="1:4" x14ac:dyDescent="0.25">
      <c r="A35" s="1">
        <v>33</v>
      </c>
      <c r="B35" t="s">
        <v>123</v>
      </c>
      <c r="C35">
        <v>0.65969999999999995</v>
      </c>
      <c r="D35" t="s">
        <v>17</v>
      </c>
    </row>
    <row r="36" spans="1:4" x14ac:dyDescent="0.25">
      <c r="A36" s="1">
        <v>34</v>
      </c>
      <c r="B36" t="s">
        <v>124</v>
      </c>
      <c r="C36">
        <v>0.62490000000000001</v>
      </c>
      <c r="D36" t="s">
        <v>17</v>
      </c>
    </row>
    <row r="37" spans="1:4" x14ac:dyDescent="0.25">
      <c r="A37" s="1">
        <v>35</v>
      </c>
      <c r="B37" t="s">
        <v>125</v>
      </c>
      <c r="C37">
        <v>0.38179999999999997</v>
      </c>
      <c r="D37" t="s">
        <v>7</v>
      </c>
    </row>
    <row r="38" spans="1:4" x14ac:dyDescent="0.25">
      <c r="A38" s="1">
        <v>36</v>
      </c>
      <c r="B38" t="s">
        <v>49</v>
      </c>
      <c r="C38">
        <v>0.81259999999999999</v>
      </c>
      <c r="D38" t="s">
        <v>27</v>
      </c>
    </row>
    <row r="39" spans="1:4" x14ac:dyDescent="0.25">
      <c r="A39" s="1">
        <v>37</v>
      </c>
      <c r="B39" t="s">
        <v>50</v>
      </c>
      <c r="C39">
        <v>0.39190000000000003</v>
      </c>
      <c r="D39" t="s">
        <v>7</v>
      </c>
    </row>
    <row r="40" spans="1:4" x14ac:dyDescent="0.25">
      <c r="A40" s="2">
        <v>38</v>
      </c>
      <c r="B40" t="s">
        <v>51</v>
      </c>
      <c r="C40">
        <v>0.83160000000000001</v>
      </c>
      <c r="D40" t="s">
        <v>27</v>
      </c>
    </row>
    <row r="41" spans="1:4" s="4" customFormat="1" x14ac:dyDescent="0.25">
      <c r="B41" s="5"/>
      <c r="C41" s="5"/>
      <c r="D41" s="5"/>
    </row>
    <row r="42" spans="1:4" x14ac:dyDescent="0.25">
      <c r="A42" s="3">
        <v>0</v>
      </c>
      <c r="B42" t="s">
        <v>3</v>
      </c>
      <c r="C42">
        <v>0</v>
      </c>
      <c r="D42" t="s">
        <v>4</v>
      </c>
    </row>
    <row r="43" spans="1:4" x14ac:dyDescent="0.25">
      <c r="A43" s="1">
        <v>1</v>
      </c>
      <c r="B43" t="s">
        <v>5</v>
      </c>
      <c r="C43">
        <v>0</v>
      </c>
      <c r="D43" t="s">
        <v>4</v>
      </c>
    </row>
    <row r="44" spans="1:4" x14ac:dyDescent="0.25">
      <c r="A44" s="1">
        <v>2</v>
      </c>
      <c r="B44" t="s">
        <v>6</v>
      </c>
      <c r="C44">
        <v>0.31819999999999998</v>
      </c>
      <c r="D44" t="s">
        <v>7</v>
      </c>
    </row>
    <row r="45" spans="1:4" x14ac:dyDescent="0.25">
      <c r="A45" s="1">
        <v>3</v>
      </c>
      <c r="B45" t="s">
        <v>8</v>
      </c>
      <c r="C45">
        <v>0.2263</v>
      </c>
      <c r="D45" t="s">
        <v>9</v>
      </c>
    </row>
    <row r="46" spans="1:4" x14ac:dyDescent="0.25">
      <c r="A46" s="1">
        <v>4</v>
      </c>
      <c r="B46" t="s">
        <v>10</v>
      </c>
      <c r="C46">
        <v>0</v>
      </c>
      <c r="D46" t="s">
        <v>4</v>
      </c>
    </row>
    <row r="47" spans="1:4" x14ac:dyDescent="0.25">
      <c r="A47" s="1">
        <v>5</v>
      </c>
      <c r="B47" t="s">
        <v>11</v>
      </c>
      <c r="C47">
        <v>0</v>
      </c>
      <c r="D47" t="s">
        <v>4</v>
      </c>
    </row>
    <row r="48" spans="1:4" x14ac:dyDescent="0.25">
      <c r="A48" s="1">
        <v>6</v>
      </c>
      <c r="B48" t="s">
        <v>12</v>
      </c>
      <c r="C48">
        <v>-0.80200000000000005</v>
      </c>
      <c r="D48" t="s">
        <v>13</v>
      </c>
    </row>
    <row r="49" spans="1:4" x14ac:dyDescent="0.25">
      <c r="A49" s="1">
        <v>7</v>
      </c>
      <c r="B49" t="s">
        <v>14</v>
      </c>
      <c r="C49">
        <v>2.58E-2</v>
      </c>
      <c r="D49" t="s">
        <v>4</v>
      </c>
    </row>
    <row r="50" spans="1:4" x14ac:dyDescent="0.25">
      <c r="A50" s="1">
        <v>8</v>
      </c>
      <c r="B50" t="s">
        <v>15</v>
      </c>
      <c r="C50">
        <v>0</v>
      </c>
      <c r="D50" t="s">
        <v>4</v>
      </c>
    </row>
    <row r="51" spans="1:4" x14ac:dyDescent="0.25">
      <c r="A51" s="1">
        <v>9</v>
      </c>
      <c r="B51" t="s">
        <v>16</v>
      </c>
      <c r="C51">
        <v>0.5423</v>
      </c>
      <c r="D51" t="s">
        <v>17</v>
      </c>
    </row>
    <row r="52" spans="1:4" x14ac:dyDescent="0.25">
      <c r="A52" s="1">
        <v>10</v>
      </c>
      <c r="B52" t="s">
        <v>18</v>
      </c>
      <c r="C52">
        <v>7.7200000000000005E-2</v>
      </c>
      <c r="D52" t="s">
        <v>4</v>
      </c>
    </row>
    <row r="53" spans="1:4" x14ac:dyDescent="0.25">
      <c r="A53" s="1">
        <v>11</v>
      </c>
      <c r="B53" t="s">
        <v>19</v>
      </c>
      <c r="C53">
        <v>-0.128</v>
      </c>
      <c r="D53" t="s">
        <v>20</v>
      </c>
    </row>
    <row r="54" spans="1:4" x14ac:dyDescent="0.25">
      <c r="A54" s="1">
        <v>12</v>
      </c>
      <c r="B54" t="s">
        <v>21</v>
      </c>
      <c r="C54">
        <v>0.38179999999999997</v>
      </c>
      <c r="D54" t="s">
        <v>7</v>
      </c>
    </row>
    <row r="55" spans="1:4" x14ac:dyDescent="0.25">
      <c r="A55" s="1">
        <v>13</v>
      </c>
      <c r="B55" t="s">
        <v>22</v>
      </c>
      <c r="C55">
        <v>0.15310000000000001</v>
      </c>
      <c r="D55" t="s">
        <v>9</v>
      </c>
    </row>
    <row r="56" spans="1:4" x14ac:dyDescent="0.25">
      <c r="A56" s="1">
        <v>14</v>
      </c>
      <c r="B56" t="s">
        <v>23</v>
      </c>
      <c r="C56">
        <v>0</v>
      </c>
      <c r="D56" t="s">
        <v>4</v>
      </c>
    </row>
    <row r="57" spans="1:4" x14ac:dyDescent="0.25">
      <c r="A57" s="1">
        <v>15</v>
      </c>
      <c r="B57" t="s">
        <v>24</v>
      </c>
      <c r="C57">
        <v>0.62490000000000001</v>
      </c>
      <c r="D57" t="s">
        <v>17</v>
      </c>
    </row>
    <row r="58" spans="1:4" x14ac:dyDescent="0.25">
      <c r="A58" s="1">
        <v>16</v>
      </c>
      <c r="B58" t="s">
        <v>25</v>
      </c>
      <c r="C58">
        <v>0.61240000000000006</v>
      </c>
      <c r="D58" t="s">
        <v>17</v>
      </c>
    </row>
    <row r="59" spans="1:4" x14ac:dyDescent="0.25">
      <c r="A59" s="1">
        <v>17</v>
      </c>
      <c r="B59" t="s">
        <v>26</v>
      </c>
      <c r="C59">
        <v>0.72689999999999999</v>
      </c>
      <c r="D59" t="s">
        <v>27</v>
      </c>
    </row>
    <row r="60" spans="1:4" x14ac:dyDescent="0.25">
      <c r="A60" s="1">
        <v>18</v>
      </c>
      <c r="B60" t="s">
        <v>28</v>
      </c>
      <c r="C60">
        <v>0.9274</v>
      </c>
      <c r="D60" t="s">
        <v>29</v>
      </c>
    </row>
    <row r="61" spans="1:4" x14ac:dyDescent="0.25">
      <c r="A61" s="1">
        <v>19</v>
      </c>
      <c r="B61" t="s">
        <v>30</v>
      </c>
      <c r="C61">
        <v>0</v>
      </c>
      <c r="D61" t="s">
        <v>4</v>
      </c>
    </row>
    <row r="62" spans="1:4" x14ac:dyDescent="0.25">
      <c r="A62" s="1">
        <v>20</v>
      </c>
      <c r="B62" t="s">
        <v>31</v>
      </c>
      <c r="C62">
        <v>0.2732</v>
      </c>
      <c r="D62" t="s">
        <v>9</v>
      </c>
    </row>
    <row r="63" spans="1:4" x14ac:dyDescent="0.25">
      <c r="A63" s="1">
        <v>21</v>
      </c>
      <c r="B63" t="s">
        <v>32</v>
      </c>
      <c r="C63">
        <v>0.40189999999999998</v>
      </c>
      <c r="D63" t="s">
        <v>7</v>
      </c>
    </row>
    <row r="64" spans="1:4" x14ac:dyDescent="0.25">
      <c r="A64" s="1">
        <v>22</v>
      </c>
      <c r="B64" t="s">
        <v>33</v>
      </c>
      <c r="C64">
        <v>0</v>
      </c>
      <c r="D64" t="s">
        <v>4</v>
      </c>
    </row>
    <row r="65" spans="1:4" x14ac:dyDescent="0.25">
      <c r="A65" s="1">
        <v>23</v>
      </c>
      <c r="B65" t="s">
        <v>34</v>
      </c>
      <c r="C65">
        <v>0.5423</v>
      </c>
      <c r="D65" t="s">
        <v>17</v>
      </c>
    </row>
    <row r="66" spans="1:4" x14ac:dyDescent="0.25">
      <c r="A66" s="1">
        <v>24</v>
      </c>
      <c r="B66" t="s">
        <v>35</v>
      </c>
      <c r="C66">
        <v>0</v>
      </c>
      <c r="D66" t="s">
        <v>4</v>
      </c>
    </row>
    <row r="67" spans="1:4" x14ac:dyDescent="0.25">
      <c r="A67" s="1">
        <v>25</v>
      </c>
      <c r="B67" t="s">
        <v>36</v>
      </c>
      <c r="C67">
        <v>0.15310000000000001</v>
      </c>
      <c r="D67" t="s">
        <v>9</v>
      </c>
    </row>
    <row r="68" spans="1:4" x14ac:dyDescent="0.25">
      <c r="A68" s="1">
        <v>26</v>
      </c>
      <c r="B68" t="s">
        <v>37</v>
      </c>
      <c r="C68">
        <v>0.38179999999999997</v>
      </c>
      <c r="D68" t="s">
        <v>7</v>
      </c>
    </row>
    <row r="69" spans="1:4" x14ac:dyDescent="0.25">
      <c r="A69" s="1">
        <v>27</v>
      </c>
      <c r="B69" t="s">
        <v>38</v>
      </c>
      <c r="C69">
        <v>-0.34</v>
      </c>
      <c r="D69" t="s">
        <v>39</v>
      </c>
    </row>
    <row r="70" spans="1:4" x14ac:dyDescent="0.25">
      <c r="A70" s="1">
        <v>28</v>
      </c>
      <c r="B70" t="s">
        <v>40</v>
      </c>
      <c r="C70">
        <v>-0.5423</v>
      </c>
      <c r="D70" t="s">
        <v>41</v>
      </c>
    </row>
    <row r="71" spans="1:4" x14ac:dyDescent="0.25">
      <c r="A71" s="1">
        <v>29</v>
      </c>
      <c r="B71" t="s">
        <v>42</v>
      </c>
      <c r="C71">
        <v>0</v>
      </c>
      <c r="D71" t="s">
        <v>4</v>
      </c>
    </row>
    <row r="72" spans="1:4" x14ac:dyDescent="0.25">
      <c r="A72" s="1">
        <v>30</v>
      </c>
      <c r="B72" t="s">
        <v>43</v>
      </c>
      <c r="C72">
        <v>0.44040000000000001</v>
      </c>
      <c r="D72" t="s">
        <v>7</v>
      </c>
    </row>
    <row r="73" spans="1:4" x14ac:dyDescent="0.25">
      <c r="A73" s="1">
        <v>31</v>
      </c>
      <c r="B73" t="s">
        <v>44</v>
      </c>
      <c r="C73">
        <v>0</v>
      </c>
      <c r="D73" t="s">
        <v>4</v>
      </c>
    </row>
    <row r="74" spans="1:4" x14ac:dyDescent="0.25">
      <c r="A74" s="1">
        <v>32</v>
      </c>
      <c r="B74" t="s">
        <v>45</v>
      </c>
      <c r="C74">
        <v>0.38179999999999997</v>
      </c>
      <c r="D74" t="s">
        <v>7</v>
      </c>
    </row>
    <row r="75" spans="1:4" x14ac:dyDescent="0.25">
      <c r="A75" s="1">
        <v>33</v>
      </c>
      <c r="B75" t="s">
        <v>46</v>
      </c>
      <c r="C75">
        <v>0.63690000000000002</v>
      </c>
      <c r="D75" t="s">
        <v>17</v>
      </c>
    </row>
    <row r="76" spans="1:4" x14ac:dyDescent="0.25">
      <c r="A76" s="1">
        <v>34</v>
      </c>
      <c r="B76" t="s">
        <v>47</v>
      </c>
      <c r="C76">
        <v>0.2732</v>
      </c>
      <c r="D76" t="s">
        <v>9</v>
      </c>
    </row>
    <row r="77" spans="1:4" x14ac:dyDescent="0.25">
      <c r="A77" s="1">
        <v>35</v>
      </c>
      <c r="B77" t="s">
        <v>48</v>
      </c>
      <c r="C77">
        <v>0.59940000000000004</v>
      </c>
      <c r="D77" t="s">
        <v>17</v>
      </c>
    </row>
    <row r="78" spans="1:4" x14ac:dyDescent="0.25">
      <c r="A78" s="1">
        <v>36</v>
      </c>
      <c r="B78" t="s">
        <v>49</v>
      </c>
      <c r="C78">
        <v>0.81259999999999999</v>
      </c>
      <c r="D78" t="s">
        <v>27</v>
      </c>
    </row>
    <row r="79" spans="1:4" x14ac:dyDescent="0.25">
      <c r="A79" s="1">
        <v>37</v>
      </c>
      <c r="B79" t="s">
        <v>50</v>
      </c>
      <c r="C79">
        <v>0.39190000000000003</v>
      </c>
      <c r="D79" t="s">
        <v>7</v>
      </c>
    </row>
    <row r="80" spans="1:4" x14ac:dyDescent="0.25">
      <c r="A80" s="2">
        <v>38</v>
      </c>
      <c r="B80" t="s">
        <v>51</v>
      </c>
      <c r="C80">
        <v>0.83160000000000001</v>
      </c>
      <c r="D80" t="s">
        <v>27</v>
      </c>
    </row>
    <row r="81" spans="1:5" x14ac:dyDescent="0.25">
      <c r="A81" s="4"/>
      <c r="B81" s="5"/>
      <c r="C81" s="5"/>
      <c r="D81" s="5"/>
      <c r="E81" s="4"/>
    </row>
    <row r="82" spans="1:5" x14ac:dyDescent="0.25">
      <c r="A82" s="3">
        <v>0</v>
      </c>
      <c r="B82" t="s">
        <v>52</v>
      </c>
      <c r="C82">
        <v>0</v>
      </c>
      <c r="D82" t="s">
        <v>4</v>
      </c>
    </row>
    <row r="83" spans="1:5" x14ac:dyDescent="0.25">
      <c r="A83" s="1">
        <v>1</v>
      </c>
      <c r="B83" t="s">
        <v>53</v>
      </c>
      <c r="C83">
        <v>0.20230000000000001</v>
      </c>
      <c r="D83" t="s">
        <v>9</v>
      </c>
    </row>
    <row r="84" spans="1:5" x14ac:dyDescent="0.25">
      <c r="A84" s="1">
        <v>2</v>
      </c>
      <c r="B84" t="s">
        <v>54</v>
      </c>
      <c r="C84">
        <v>0.61240000000000006</v>
      </c>
      <c r="D84" t="s">
        <v>17</v>
      </c>
    </row>
    <row r="85" spans="1:5" x14ac:dyDescent="0.25">
      <c r="A85" s="1">
        <v>3</v>
      </c>
      <c r="B85" t="s">
        <v>55</v>
      </c>
      <c r="C85">
        <v>-0.57189999999999996</v>
      </c>
      <c r="D85" t="s">
        <v>41</v>
      </c>
    </row>
    <row r="86" spans="1:5" x14ac:dyDescent="0.25">
      <c r="A86" s="1">
        <v>4</v>
      </c>
      <c r="B86" t="s">
        <v>10</v>
      </c>
      <c r="C86">
        <v>0</v>
      </c>
      <c r="D86" t="s">
        <v>4</v>
      </c>
    </row>
    <row r="87" spans="1:5" x14ac:dyDescent="0.25">
      <c r="A87" s="1">
        <v>5</v>
      </c>
      <c r="B87" t="s">
        <v>56</v>
      </c>
      <c r="C87">
        <v>-0.34</v>
      </c>
      <c r="D87" t="s">
        <v>39</v>
      </c>
    </row>
    <row r="88" spans="1:5" x14ac:dyDescent="0.25">
      <c r="A88" s="1">
        <v>6</v>
      </c>
      <c r="B88" t="s">
        <v>57</v>
      </c>
      <c r="C88">
        <v>-0.69079999999999997</v>
      </c>
      <c r="D88" t="s">
        <v>41</v>
      </c>
    </row>
    <row r="89" spans="1:5" x14ac:dyDescent="0.25">
      <c r="A89" s="1">
        <v>7</v>
      </c>
      <c r="B89" t="s">
        <v>58</v>
      </c>
      <c r="C89">
        <v>-0.128</v>
      </c>
      <c r="D89" t="s">
        <v>20</v>
      </c>
    </row>
    <row r="90" spans="1:5" x14ac:dyDescent="0.25">
      <c r="A90" s="1">
        <v>8</v>
      </c>
      <c r="B90" t="s">
        <v>59</v>
      </c>
      <c r="C90">
        <v>0.62490000000000001</v>
      </c>
      <c r="D90" t="s">
        <v>17</v>
      </c>
    </row>
    <row r="91" spans="1:5" x14ac:dyDescent="0.25">
      <c r="A91" s="1">
        <v>9</v>
      </c>
      <c r="B91" t="s">
        <v>60</v>
      </c>
      <c r="C91">
        <v>0.38179999999999997</v>
      </c>
      <c r="D91" t="s">
        <v>7</v>
      </c>
    </row>
    <row r="92" spans="1:5" x14ac:dyDescent="0.25">
      <c r="A92" s="1">
        <v>10</v>
      </c>
      <c r="B92" t="s">
        <v>61</v>
      </c>
      <c r="C92">
        <v>0.62490000000000001</v>
      </c>
      <c r="D92" t="s">
        <v>17</v>
      </c>
    </row>
    <row r="93" spans="1:5" x14ac:dyDescent="0.25">
      <c r="A93" s="1">
        <v>11</v>
      </c>
      <c r="B93" t="s">
        <v>62</v>
      </c>
      <c r="C93">
        <v>0.61240000000000006</v>
      </c>
      <c r="D93" t="s">
        <v>17</v>
      </c>
    </row>
    <row r="94" spans="1:5" x14ac:dyDescent="0.25">
      <c r="A94" s="1">
        <v>12</v>
      </c>
      <c r="B94" t="s">
        <v>63</v>
      </c>
      <c r="C94">
        <v>0.96230000000000004</v>
      </c>
      <c r="D94" t="s">
        <v>29</v>
      </c>
    </row>
    <row r="95" spans="1:5" x14ac:dyDescent="0.25">
      <c r="A95" s="1">
        <v>13</v>
      </c>
      <c r="B95" t="s">
        <v>64</v>
      </c>
      <c r="C95">
        <v>-0.29599999999999999</v>
      </c>
      <c r="D95" t="s">
        <v>20</v>
      </c>
    </row>
    <row r="96" spans="1:5" x14ac:dyDescent="0.25">
      <c r="A96" s="1">
        <v>14</v>
      </c>
      <c r="B96" t="s">
        <v>30</v>
      </c>
      <c r="C96">
        <v>0</v>
      </c>
      <c r="D96" t="s">
        <v>4</v>
      </c>
    </row>
    <row r="97" spans="1:16" x14ac:dyDescent="0.25">
      <c r="A97" s="1">
        <v>15</v>
      </c>
      <c r="B97" t="s">
        <v>65</v>
      </c>
      <c r="C97">
        <v>0.2732</v>
      </c>
      <c r="D97" t="s">
        <v>9</v>
      </c>
    </row>
    <row r="98" spans="1:16" x14ac:dyDescent="0.25">
      <c r="A98" s="1">
        <v>16</v>
      </c>
      <c r="B98" t="s">
        <v>66</v>
      </c>
      <c r="C98">
        <v>7.7200000000000005E-2</v>
      </c>
      <c r="D98" t="s">
        <v>4</v>
      </c>
    </row>
    <row r="99" spans="1:16" x14ac:dyDescent="0.25">
      <c r="A99" s="1">
        <v>17</v>
      </c>
      <c r="B99" t="s">
        <v>67</v>
      </c>
      <c r="C99">
        <v>0.5423</v>
      </c>
      <c r="D99" t="s">
        <v>17</v>
      </c>
    </row>
    <row r="100" spans="1:16" x14ac:dyDescent="0.25">
      <c r="A100" s="1">
        <v>18</v>
      </c>
      <c r="B100" t="s">
        <v>68</v>
      </c>
      <c r="C100">
        <v>7.7200000000000005E-2</v>
      </c>
      <c r="D100" t="s">
        <v>4</v>
      </c>
    </row>
    <row r="101" spans="1:16" x14ac:dyDescent="0.25">
      <c r="A101" s="1">
        <v>19</v>
      </c>
      <c r="B101" t="s">
        <v>69</v>
      </c>
      <c r="C101">
        <v>0.38179999999999997</v>
      </c>
      <c r="D101" t="s">
        <v>7</v>
      </c>
    </row>
    <row r="102" spans="1:16" x14ac:dyDescent="0.25">
      <c r="A102" s="1">
        <v>20</v>
      </c>
      <c r="B102" t="s">
        <v>70</v>
      </c>
      <c r="C102">
        <v>-0.5423</v>
      </c>
      <c r="D102" t="s">
        <v>41</v>
      </c>
    </row>
    <row r="103" spans="1:16" x14ac:dyDescent="0.25">
      <c r="A103" s="1">
        <v>21</v>
      </c>
      <c r="B103" t="s">
        <v>71</v>
      </c>
      <c r="C103">
        <v>0.44040000000000001</v>
      </c>
      <c r="D103" t="s">
        <v>7</v>
      </c>
      <c r="O103" s="6" t="s">
        <v>126</v>
      </c>
      <c r="P103" s="6">
        <f>+COUNTIF($D$42:$D$138,O103)</f>
        <v>0</v>
      </c>
    </row>
    <row r="104" spans="1:16" x14ac:dyDescent="0.25">
      <c r="A104" s="1">
        <v>22</v>
      </c>
      <c r="B104" t="s">
        <v>72</v>
      </c>
      <c r="C104">
        <v>0.77829999999999999</v>
      </c>
      <c r="D104" t="s">
        <v>27</v>
      </c>
      <c r="O104" s="6" t="str">
        <f>+D48</f>
        <v>Pesimismo</v>
      </c>
      <c r="P104" s="6">
        <f>+COUNTIF(D2:D138,D108)</f>
        <v>5</v>
      </c>
    </row>
    <row r="105" spans="1:16" x14ac:dyDescent="0.25">
      <c r="A105" s="1">
        <v>23</v>
      </c>
      <c r="B105" t="s">
        <v>73</v>
      </c>
      <c r="C105">
        <v>0.71840000000000004</v>
      </c>
      <c r="D105" t="s">
        <v>27</v>
      </c>
      <c r="O105" s="6" t="str">
        <f>+D113</f>
        <v>Inestabilidad</v>
      </c>
      <c r="P105" s="6">
        <f>+COUNTIF($D$2:$D$138,D4)</f>
        <v>12</v>
      </c>
    </row>
    <row r="106" spans="1:16" x14ac:dyDescent="0.25">
      <c r="A106" s="1">
        <v>24</v>
      </c>
      <c r="B106" t="s">
        <v>49</v>
      </c>
      <c r="C106">
        <v>0.81259999999999999</v>
      </c>
      <c r="D106" t="s">
        <v>27</v>
      </c>
      <c r="O106" s="6" t="str">
        <f>+D87</f>
        <v>Escepticismo</v>
      </c>
      <c r="P106" s="6">
        <f>+COUNTIF($D$2:$D$138,O106)</f>
        <v>5</v>
      </c>
    </row>
    <row r="107" spans="1:16" x14ac:dyDescent="0.25">
      <c r="A107" s="1">
        <v>25</v>
      </c>
      <c r="B107" t="s">
        <v>74</v>
      </c>
      <c r="C107">
        <v>0.1154</v>
      </c>
      <c r="D107" t="s">
        <v>9</v>
      </c>
      <c r="O107" s="6" t="str">
        <f>+D89</f>
        <v>Indiferente</v>
      </c>
      <c r="P107" s="6">
        <f>+COUNTIF($D$2:$D$138,O107)</f>
        <v>6</v>
      </c>
    </row>
    <row r="108" spans="1:16" x14ac:dyDescent="0.25">
      <c r="A108" s="1">
        <v>26</v>
      </c>
      <c r="B108" t="s">
        <v>75</v>
      </c>
      <c r="C108">
        <v>-0.74299999999999999</v>
      </c>
      <c r="D108" t="s">
        <v>13</v>
      </c>
      <c r="O108" s="6" t="str">
        <f>+D100</f>
        <v>Neutral</v>
      </c>
      <c r="P108" s="6">
        <f>+COUNTIF($D$2:$D$138,O108)</f>
        <v>32</v>
      </c>
    </row>
    <row r="109" spans="1:16" x14ac:dyDescent="0.25">
      <c r="A109" s="2">
        <v>27</v>
      </c>
      <c r="B109" t="s">
        <v>51</v>
      </c>
      <c r="C109">
        <v>0.83160000000000001</v>
      </c>
      <c r="D109" t="s">
        <v>27</v>
      </c>
      <c r="O109" s="6" t="str">
        <f>+D83</f>
        <v>Favorable</v>
      </c>
      <c r="P109" s="6">
        <f>+COUNTIF($D$2:$D$138,D97)</f>
        <v>12</v>
      </c>
    </row>
    <row r="110" spans="1:16" x14ac:dyDescent="0.25">
      <c r="A110" s="4"/>
      <c r="B110" s="5"/>
      <c r="C110" s="5"/>
      <c r="D110" s="5"/>
      <c r="E110" s="4"/>
      <c r="O110" s="6" t="str">
        <f>+D101</f>
        <v>Optimismo</v>
      </c>
      <c r="P110" s="6">
        <f>+COUNTIF($D$2:$D$138,D101)</f>
        <v>19</v>
      </c>
    </row>
    <row r="111" spans="1:16" x14ac:dyDescent="0.25">
      <c r="A111" s="3">
        <v>0</v>
      </c>
      <c r="B111" t="s">
        <v>76</v>
      </c>
      <c r="C111">
        <v>0</v>
      </c>
      <c r="D111" t="s">
        <v>4</v>
      </c>
      <c r="O111" s="6" t="str">
        <f>+D99</f>
        <v>Convicción</v>
      </c>
      <c r="P111" s="6">
        <f t="shared" ref="P109:P113" si="0">+COUNTIF($D$2:$D$138,O111)</f>
        <v>21</v>
      </c>
    </row>
    <row r="112" spans="1:16" x14ac:dyDescent="0.25">
      <c r="A112" s="1">
        <v>1</v>
      </c>
      <c r="B112" t="s">
        <v>77</v>
      </c>
      <c r="C112">
        <v>0</v>
      </c>
      <c r="D112" t="s">
        <v>4</v>
      </c>
      <c r="O112" s="6" t="str">
        <f>+D80</f>
        <v>Consolidación</v>
      </c>
      <c r="P112" s="6">
        <f>+COUNTIF($D$2:$D$138,D104)</f>
        <v>19</v>
      </c>
    </row>
    <row r="113" spans="1:16" x14ac:dyDescent="0.25">
      <c r="A113" s="1">
        <v>2</v>
      </c>
      <c r="B113" t="s">
        <v>78</v>
      </c>
      <c r="C113">
        <v>-0.57189999999999996</v>
      </c>
      <c r="D113" t="s">
        <v>41</v>
      </c>
      <c r="O113" s="6" t="str">
        <f>+D94</f>
        <v>Confianza</v>
      </c>
      <c r="P113" s="6">
        <f t="shared" si="0"/>
        <v>3</v>
      </c>
    </row>
    <row r="114" spans="1:16" x14ac:dyDescent="0.25">
      <c r="A114" s="1">
        <v>3</v>
      </c>
      <c r="B114" t="s">
        <v>79</v>
      </c>
      <c r="C114">
        <v>0.44040000000000001</v>
      </c>
      <c r="D114" t="s">
        <v>7</v>
      </c>
    </row>
    <row r="115" spans="1:16" x14ac:dyDescent="0.25">
      <c r="A115" s="1">
        <v>4</v>
      </c>
      <c r="B115" t="s">
        <v>10</v>
      </c>
      <c r="C115">
        <v>0</v>
      </c>
      <c r="D115" t="s">
        <v>4</v>
      </c>
      <c r="O115" t="s">
        <v>127</v>
      </c>
    </row>
    <row r="116" spans="1:16" x14ac:dyDescent="0.25">
      <c r="A116" s="1">
        <v>5</v>
      </c>
      <c r="B116" t="s">
        <v>80</v>
      </c>
      <c r="C116">
        <v>-0.34</v>
      </c>
      <c r="D116" t="s">
        <v>39</v>
      </c>
    </row>
    <row r="117" spans="1:16" x14ac:dyDescent="0.25">
      <c r="A117" s="1">
        <v>6</v>
      </c>
      <c r="B117" t="s">
        <v>81</v>
      </c>
      <c r="C117">
        <v>-0.69079999999999997</v>
      </c>
      <c r="D117" t="s">
        <v>41</v>
      </c>
    </row>
    <row r="118" spans="1:16" x14ac:dyDescent="0.25">
      <c r="A118" s="1">
        <v>7</v>
      </c>
      <c r="B118" t="s">
        <v>82</v>
      </c>
      <c r="C118">
        <v>-0.128</v>
      </c>
      <c r="D118" t="s">
        <v>20</v>
      </c>
    </row>
    <row r="119" spans="1:16" x14ac:dyDescent="0.25">
      <c r="A119" s="1">
        <v>8</v>
      </c>
      <c r="B119" t="s">
        <v>59</v>
      </c>
      <c r="C119">
        <v>0.62490000000000001</v>
      </c>
      <c r="D119" t="s">
        <v>17</v>
      </c>
    </row>
    <row r="120" spans="1:16" x14ac:dyDescent="0.25">
      <c r="A120" s="1">
        <v>9</v>
      </c>
      <c r="B120" t="s">
        <v>83</v>
      </c>
      <c r="C120">
        <v>0.38179999999999997</v>
      </c>
      <c r="D120" t="s">
        <v>7</v>
      </c>
    </row>
    <row r="121" spans="1:16" x14ac:dyDescent="0.25">
      <c r="A121" s="1">
        <v>10</v>
      </c>
      <c r="B121" t="s">
        <v>84</v>
      </c>
      <c r="C121">
        <v>0.62490000000000001</v>
      </c>
      <c r="D121" t="s">
        <v>17</v>
      </c>
    </row>
    <row r="122" spans="1:16" x14ac:dyDescent="0.25">
      <c r="A122" s="1">
        <v>11</v>
      </c>
      <c r="B122" t="s">
        <v>85</v>
      </c>
      <c r="C122">
        <v>0.69079999999999997</v>
      </c>
      <c r="D122" t="s">
        <v>17</v>
      </c>
    </row>
    <row r="123" spans="1:16" x14ac:dyDescent="0.25">
      <c r="A123" s="1">
        <v>12</v>
      </c>
      <c r="B123" t="s">
        <v>86</v>
      </c>
      <c r="C123">
        <v>0.96230000000000004</v>
      </c>
      <c r="D123" t="s">
        <v>29</v>
      </c>
    </row>
    <row r="124" spans="1:16" x14ac:dyDescent="0.25">
      <c r="A124" s="1">
        <v>13</v>
      </c>
      <c r="B124" t="s">
        <v>64</v>
      </c>
      <c r="C124">
        <v>-0.29599999999999999</v>
      </c>
      <c r="D124" t="s">
        <v>20</v>
      </c>
    </row>
    <row r="125" spans="1:16" x14ac:dyDescent="0.25">
      <c r="A125" s="1">
        <v>14</v>
      </c>
      <c r="B125" t="s">
        <v>30</v>
      </c>
      <c r="C125">
        <v>0</v>
      </c>
      <c r="D125" t="s">
        <v>4</v>
      </c>
    </row>
    <row r="126" spans="1:16" x14ac:dyDescent="0.25">
      <c r="A126" s="1">
        <v>15</v>
      </c>
      <c r="B126" t="s">
        <v>65</v>
      </c>
      <c r="C126">
        <v>0.2732</v>
      </c>
      <c r="D126" t="s">
        <v>9</v>
      </c>
    </row>
    <row r="127" spans="1:16" x14ac:dyDescent="0.25">
      <c r="A127" s="1">
        <v>16</v>
      </c>
      <c r="B127" t="s">
        <v>66</v>
      </c>
      <c r="C127">
        <v>7.7200000000000005E-2</v>
      </c>
      <c r="D127" t="s">
        <v>4</v>
      </c>
    </row>
    <row r="128" spans="1:16" x14ac:dyDescent="0.25">
      <c r="A128" s="1">
        <v>17</v>
      </c>
      <c r="B128" t="s">
        <v>67</v>
      </c>
      <c r="C128">
        <v>0.5423</v>
      </c>
      <c r="D128" t="s">
        <v>17</v>
      </c>
    </row>
    <row r="129" spans="1:4" x14ac:dyDescent="0.25">
      <c r="A129" s="1">
        <v>18</v>
      </c>
      <c r="B129" t="s">
        <v>87</v>
      </c>
      <c r="C129">
        <v>7.7200000000000005E-2</v>
      </c>
      <c r="D129" t="s">
        <v>4</v>
      </c>
    </row>
    <row r="130" spans="1:4" x14ac:dyDescent="0.25">
      <c r="A130" s="1">
        <v>19</v>
      </c>
      <c r="B130" t="s">
        <v>88</v>
      </c>
      <c r="C130">
        <v>0.128</v>
      </c>
      <c r="D130" t="s">
        <v>9</v>
      </c>
    </row>
    <row r="131" spans="1:4" x14ac:dyDescent="0.25">
      <c r="A131" s="1">
        <v>20</v>
      </c>
      <c r="B131" t="s">
        <v>89</v>
      </c>
      <c r="C131">
        <v>-0.5423</v>
      </c>
      <c r="D131" t="s">
        <v>41</v>
      </c>
    </row>
    <row r="132" spans="1:4" x14ac:dyDescent="0.25">
      <c r="A132" s="1">
        <v>21</v>
      </c>
      <c r="B132" t="s">
        <v>71</v>
      </c>
      <c r="C132">
        <v>0.44040000000000001</v>
      </c>
      <c r="D132" t="s">
        <v>7</v>
      </c>
    </row>
    <row r="133" spans="1:4" x14ac:dyDescent="0.25">
      <c r="A133" s="1">
        <v>22</v>
      </c>
      <c r="B133" t="s">
        <v>90</v>
      </c>
      <c r="C133">
        <v>0.77829999999999999</v>
      </c>
      <c r="D133" t="s">
        <v>27</v>
      </c>
    </row>
    <row r="134" spans="1:4" x14ac:dyDescent="0.25">
      <c r="A134" s="1">
        <v>23</v>
      </c>
      <c r="B134" t="s">
        <v>91</v>
      </c>
      <c r="C134">
        <v>0.71840000000000004</v>
      </c>
      <c r="D134" t="s">
        <v>27</v>
      </c>
    </row>
    <row r="135" spans="1:4" x14ac:dyDescent="0.25">
      <c r="A135" s="1">
        <v>24</v>
      </c>
      <c r="B135" t="s">
        <v>49</v>
      </c>
      <c r="C135">
        <v>0.81259999999999999</v>
      </c>
      <c r="D135" t="s">
        <v>27</v>
      </c>
    </row>
    <row r="136" spans="1:4" x14ac:dyDescent="0.25">
      <c r="A136" s="1">
        <v>25</v>
      </c>
      <c r="B136" t="s">
        <v>92</v>
      </c>
      <c r="C136">
        <v>0.1154</v>
      </c>
      <c r="D136" t="s">
        <v>9</v>
      </c>
    </row>
    <row r="137" spans="1:4" x14ac:dyDescent="0.25">
      <c r="A137" s="1">
        <v>26</v>
      </c>
      <c r="B137" t="s">
        <v>75</v>
      </c>
      <c r="C137">
        <v>-0.74299999999999999</v>
      </c>
      <c r="D137" t="s">
        <v>13</v>
      </c>
    </row>
    <row r="138" spans="1:4" x14ac:dyDescent="0.25">
      <c r="A138" s="1">
        <v>27</v>
      </c>
      <c r="B138" t="s">
        <v>51</v>
      </c>
      <c r="C138">
        <v>0.83160000000000001</v>
      </c>
      <c r="D138" t="s">
        <v>27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Alana Sofia Sanchez Cardona</cp:lastModifiedBy>
  <dcterms:created xsi:type="dcterms:W3CDTF">2025-04-04T14:52:22Z</dcterms:created>
  <dcterms:modified xsi:type="dcterms:W3CDTF">2025-04-04T16:44:28Z</dcterms:modified>
</cp:coreProperties>
</file>